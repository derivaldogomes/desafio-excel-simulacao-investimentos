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lb" ContentType="model/gltf.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URSOS\EXCEL\AULA 4\DESAFIO\"/>
    </mc:Choice>
  </mc:AlternateContent>
  <xr:revisionPtr revIDLastSave="0" documentId="13_ncr:1_{3708ABC0-5833-4BC7-8323-8DF4B54E6CB6}" xr6:coauthVersionLast="47" xr6:coauthVersionMax="47" xr10:uidLastSave="{00000000-0000-0000-0000-000000000000}"/>
  <bookViews>
    <workbookView xWindow="-108" yWindow="-108" windowWidth="23256" windowHeight="12576" xr2:uid="{D36C98A4-15FE-4F7D-8668-40BE9F2E16F0}"/>
  </bookViews>
  <sheets>
    <sheet name="SIMULADOR INVESTIMENTOS" sheetId="1" r:id="rId1"/>
    <sheet name="ELEMENTOS" sheetId="2" r:id="rId2"/>
  </sheets>
  <definedNames>
    <definedName name="aporte">'SIMULADOR INVESTIMENTOS'!$D$15</definedName>
    <definedName name="patrimonio">'SIMULADOR INVESTIMENTOS'!$D$18</definedName>
    <definedName name="qdt_anos">'SIMULADOR INVESTIMENTOS'!$D$16</definedName>
    <definedName name="rendimento_carteira">'SIMULADOR INVESTIMENTOS'!$D$11</definedName>
    <definedName name="salario">'SIMULADOR INVESTIMENTOS'!$D$10</definedName>
    <definedName name="sugestao_investimento">'SIMULADOR INVESTIMENTOS'!$D$12</definedName>
    <definedName name="taxa_mensal">'SIMULADOR INVESTIMENTOS'!$D$17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1" l="1"/>
  <c r="C35" i="1"/>
  <c r="C36" i="1"/>
  <c r="C37" i="1"/>
  <c r="C38" i="1"/>
  <c r="C39" i="1"/>
  <c r="C34" i="1"/>
  <c r="I5" i="2"/>
  <c r="B11" i="2"/>
  <c r="B12" i="2"/>
  <c r="B13" i="2"/>
  <c r="B14" i="2"/>
  <c r="B15" i="2"/>
  <c r="B16" i="2"/>
  <c r="B17" i="2"/>
  <c r="B18" i="2"/>
  <c r="B19" i="2"/>
  <c r="B20" i="2"/>
  <c r="B21" i="2"/>
  <c r="B22" i="2"/>
  <c r="B6" i="2"/>
  <c r="B7" i="2"/>
  <c r="B8" i="2"/>
  <c r="B9" i="2"/>
  <c r="B10" i="2"/>
  <c r="B5" i="2"/>
  <c r="D18" i="1"/>
  <c r="D19" i="1" s="1"/>
  <c r="D12" i="1"/>
  <c r="C23" i="1"/>
  <c r="D23" i="1" s="1"/>
  <c r="C24" i="1"/>
  <c r="D24" i="1" s="1"/>
  <c r="C25" i="1"/>
  <c r="D25" i="1" s="1"/>
  <c r="C26" i="1"/>
  <c r="D26" i="1" s="1"/>
  <c r="C22" i="1"/>
  <c r="D22" i="1" s="1"/>
  <c r="D35" i="1" l="1"/>
  <c r="D38" i="1"/>
  <c r="D34" i="1"/>
  <c r="D37" i="1"/>
  <c r="D36" i="1"/>
  <c r="D39" i="1"/>
  <c r="D40" i="1" l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<sst xmlns="http://schemas.openxmlformats.org/spreadsheetml/2006/main" count="70" uniqueCount="34">
  <si>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</si>
  <si>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</si>
  <si>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 mensal?</t>
  </si>
  <si>
    <t>Patrimônio acumulado?</t>
  </si>
  <si>
    <t>Dividendo mensais?</t>
  </si>
  <si>
    <t>INVESTIMENTO MENSAL</t>
  </si>
  <si>
    <t>Quanto em 2 anos?</t>
  </si>
  <si>
    <t>Quanto em 5 anos?</t>
  </si>
  <si>
    <t>Quanto em 10 anos?</t>
  </si>
  <si>
    <t>Quanto em 20 anos?</t>
  </si>
  <si>
    <t>CENÁRIOS</t>
  </si>
  <si>
    <t>Quanto em 30 anos?</t>
  </si>
  <si>
    <t>DIVIDENDO</t>
  </si>
  <si>
    <t>Salário</t>
  </si>
  <si>
    <t>Rendimento Carteira</t>
  </si>
  <si>
    <t>Sugestão de Investimento</t>
  </si>
  <si>
    <t>PERFIL</t>
  </si>
  <si>
    <t>Agressivo</t>
  </si>
  <si>
    <t>VALOR INVESTIDO POR MÊS</t>
  </si>
  <si>
    <t>TIPOS DE FIIIs</t>
  </si>
  <si>
    <t>PERCENTUAL SUGERIDO</t>
  </si>
  <si>
    <t>VALOR</t>
  </si>
  <si>
    <t>PAPEL</t>
  </si>
  <si>
    <t>TIJOLO</t>
  </si>
  <si>
    <t>HÍBRIDO</t>
  </si>
  <si>
    <t>FOFs</t>
  </si>
  <si>
    <t>DESENVOLVIMENTO</t>
  </si>
  <si>
    <t>HOTELARIA</t>
  </si>
  <si>
    <t>Conservador</t>
  </si>
  <si>
    <t>%</t>
  </si>
  <si>
    <t>CHAVE</t>
  </si>
  <si>
    <t>Moderado</t>
  </si>
  <si>
    <t>Moderado-PAPEL</t>
  </si>
  <si>
    <t xml:space="preserve">SIMULADOR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</si>
</sst>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3" tint="-0.499984740745262"/>
      </left>
      <right/>
      <top style="medium">
        <color theme="3" tint="-0.499984740745262"/>
      </top>
      <bottom/>
      <diagonal/>
    </border>
    <border>
      <left/>
      <right style="medium">
        <color theme="3" tint="-0.499984740745262"/>
      </right>
      <top style="medium">
        <color theme="3" tint="-0.499984740745262"/>
      </top>
      <bottom/>
      <diagonal/>
    </border>
    <border>
      <left/>
      <right/>
      <top style="medium">
        <color theme="3" tint="-0.499984740745262"/>
      </top>
      <bottom/>
      <diagonal/>
    </border>
    <border>
      <left style="medium">
        <color theme="3" tint="-0.499984740745262"/>
      </left>
      <right style="thin">
        <color theme="3" tint="-0.499984740745262"/>
      </right>
      <top style="medium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medium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3" tint="-0.499984740745262"/>
      </right>
      <top/>
      <bottom style="medium">
        <color theme="0" tint="-0.14996795556505021"/>
      </bottom>
      <diagonal/>
    </border>
    <border>
      <left style="medium">
        <color theme="3" tint="-0.499984740745262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3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3" tint="-0.499984740745262"/>
      </left>
      <right style="medium">
        <color theme="0" tint="-0.14996795556505021"/>
      </right>
      <top style="medium">
        <color theme="0" tint="-0.14996795556505021"/>
      </top>
      <bottom style="medium">
        <color theme="3" tint="-0.499984740745262"/>
      </bottom>
      <diagonal/>
    </border>
    <border>
      <left style="medium">
        <color theme="0" tint="-0.14996795556505021"/>
      </left>
      <right style="medium">
        <color theme="3" tint="-0.499984740745262"/>
      </right>
      <top style="medium">
        <color theme="0" tint="-0.14996795556505021"/>
      </top>
      <bottom style="medium">
        <color theme="3" tint="-0.499984740745262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3" tint="-0.499984740745262"/>
      </bottom>
      <diagonal/>
    </border>
    <border>
      <left style="medium">
        <color theme="0" tint="-0.14996795556505021"/>
      </left>
      <right style="medium">
        <color theme="3" tint="-0.499984740745262"/>
      </right>
      <top style="thin">
        <color indexed="64"/>
      </top>
      <bottom style="medium">
        <color theme="0" tint="-0.14996795556505021"/>
      </bottom>
      <diagonal/>
    </border>
    <border>
      <left style="medium">
        <color theme="3" tint="-0.499984740745262"/>
      </left>
      <right style="medium">
        <color theme="0" tint="-0.14996795556505021"/>
      </right>
      <top style="thin">
        <color theme="3" tint="-0.49998474074526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3" tint="-0.49998474074526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3" tint="-0.499984740745262"/>
      </right>
      <top style="thin">
        <color theme="3" tint="-0.499984740745262"/>
      </top>
      <bottom style="medium">
        <color theme="0" tint="-0.1499679555650502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3" fillId="0" borderId="0" xfId="0" applyFont="1"/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164" fontId="6" fillId="0" borderId="9" xfId="1" applyNumberFormat="1" applyFont="1" applyBorder="1" applyAlignment="1">
      <alignment horizontal="left" indent="3"/>
    </xf>
    <xf numFmtId="10" fontId="6" fillId="0" borderId="11" xfId="0" applyNumberFormat="1" applyFont="1" applyBorder="1" applyAlignment="1">
      <alignment horizontal="left" indent="3"/>
    </xf>
    <xf numFmtId="164" fontId="2" fillId="0" borderId="17" xfId="1" applyNumberFormat="1" applyFont="1" applyBorder="1" applyAlignment="1">
      <alignment horizontal="left" indent="3"/>
    </xf>
    <xf numFmtId="1" fontId="2" fillId="0" borderId="11" xfId="0" applyNumberFormat="1" applyFont="1" applyBorder="1" applyAlignment="1">
      <alignment horizontal="left" indent="3"/>
    </xf>
    <xf numFmtId="10" fontId="2" fillId="0" borderId="11" xfId="0" applyNumberFormat="1" applyFont="1" applyBorder="1" applyAlignment="1">
      <alignment horizontal="left" indent="3"/>
    </xf>
    <xf numFmtId="8" fontId="2" fillId="4" borderId="11" xfId="0" applyNumberFormat="1" applyFont="1" applyFill="1" applyBorder="1" applyAlignment="1">
      <alignment horizontal="left" indent="3"/>
    </xf>
    <xf numFmtId="8" fontId="2" fillId="4" borderId="13" xfId="0" applyNumberFormat="1" applyFont="1" applyFill="1" applyBorder="1" applyAlignment="1">
      <alignment horizontal="left" indent="3"/>
    </xf>
    <xf numFmtId="0" fontId="6" fillId="4" borderId="18" xfId="0" applyFont="1" applyFill="1" applyBorder="1" applyAlignment="1">
      <alignment horizontal="left" indent="3"/>
    </xf>
    <xf numFmtId="8" fontId="0" fillId="4" borderId="19" xfId="0" applyNumberFormat="1" applyFill="1" applyBorder="1" applyAlignment="1">
      <alignment horizontal="left" indent="3"/>
    </xf>
    <xf numFmtId="0" fontId="6" fillId="4" borderId="10" xfId="0" applyFont="1" applyFill="1" applyBorder="1" applyAlignment="1">
      <alignment horizontal="left" indent="3"/>
    </xf>
    <xf numFmtId="8" fontId="0" fillId="4" borderId="15" xfId="0" applyNumberFormat="1" applyFill="1" applyBorder="1" applyAlignment="1">
      <alignment horizontal="left" indent="3"/>
    </xf>
    <xf numFmtId="0" fontId="6" fillId="4" borderId="12" xfId="0" applyFont="1" applyFill="1" applyBorder="1" applyAlignment="1">
      <alignment horizontal="left" indent="3"/>
    </xf>
    <xf numFmtId="8" fontId="0" fillId="4" borderId="16" xfId="0" applyNumberFormat="1" applyFill="1" applyBorder="1" applyAlignment="1">
      <alignment horizontal="left" indent="3"/>
    </xf>
    <xf numFmtId="8" fontId="0" fillId="4" borderId="20" xfId="0" applyNumberFormat="1" applyFill="1" applyBorder="1" applyAlignment="1">
      <alignment horizontal="right" indent="3"/>
    </xf>
    <xf numFmtId="8" fontId="0" fillId="4" borderId="11" xfId="0" applyNumberFormat="1" applyFill="1" applyBorder="1" applyAlignment="1">
      <alignment horizontal="right" indent="3"/>
    </xf>
    <xf numFmtId="8" fontId="0" fillId="4" borderId="13" xfId="0" applyNumberFormat="1" applyFill="1" applyBorder="1" applyAlignment="1">
      <alignment horizontal="right" indent="3"/>
    </xf>
    <xf numFmtId="164" fontId="6" fillId="4" borderId="13" xfId="0" applyNumberFormat="1" applyFont="1" applyFill="1" applyBorder="1" applyAlignment="1">
      <alignment horizontal="left" indent="3"/>
    </xf>
    <xf numFmtId="0" fontId="0" fillId="5" borderId="0" xfId="0" applyFill="1"/>
    <xf numFmtId="164" fontId="0" fillId="0" borderId="0" xfId="0" applyNumberFormat="1"/>
    <xf numFmtId="9" fontId="0" fillId="0" borderId="0" xfId="2" applyNumberFormat="1" applyFont="1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164" fontId="0" fillId="6" borderId="0" xfId="0" applyNumberFormat="1" applyFill="1"/>
    <xf numFmtId="0" fontId="0" fillId="0" borderId="21" xfId="0" applyBorder="1"/>
    <xf numFmtId="0" fontId="0" fillId="0" borderId="0" xfId="0" applyBorder="1"/>
    <xf numFmtId="9" fontId="0" fillId="0" borderId="0" xfId="2" applyNumberFormat="1" applyFont="1" applyBorder="1" applyAlignment="1">
      <alignment horizontal="center"/>
    </xf>
    <xf numFmtId="9" fontId="0" fillId="0" borderId="0" xfId="2" applyNumberFormat="1" applyFont="1" applyFill="1" applyBorder="1" applyAlignment="1">
      <alignment horizontal="center"/>
    </xf>
    <xf numFmtId="0" fontId="0" fillId="6" borderId="21" xfId="0" applyFill="1" applyBorder="1"/>
    <xf numFmtId="9" fontId="0" fillId="6" borderId="0" xfId="2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0" fillId="5" borderId="0" xfId="0" applyFill="1" applyAlignment="1">
      <alignment horizontal="center"/>
    </xf>
    <xf numFmtId="0" fontId="6" fillId="0" borderId="10" xfId="0" applyFont="1" applyBorder="1" applyAlignment="1">
      <alignment horizontal="left" indent="3"/>
    </xf>
    <xf numFmtId="0" fontId="6" fillId="0" borderId="15" xfId="0" applyFont="1" applyBorder="1" applyAlignment="1">
      <alignment horizontal="left" indent="3"/>
    </xf>
    <xf numFmtId="0" fontId="7" fillId="4" borderId="10" xfId="0" applyFont="1" applyFill="1" applyBorder="1" applyAlignment="1">
      <alignment horizontal="left" indent="3"/>
    </xf>
    <xf numFmtId="0" fontId="7" fillId="4" borderId="15" xfId="0" applyFont="1" applyFill="1" applyBorder="1" applyAlignment="1">
      <alignment horizontal="left" indent="3"/>
    </xf>
    <xf numFmtId="0" fontId="7" fillId="4" borderId="12" xfId="0" applyFont="1" applyFill="1" applyBorder="1" applyAlignment="1">
      <alignment horizontal="left" indent="3"/>
    </xf>
    <xf numFmtId="0" fontId="7" fillId="4" borderId="16" xfId="0" applyFont="1" applyFill="1" applyBorder="1" applyAlignment="1">
      <alignment horizontal="left" indent="3"/>
    </xf>
    <xf numFmtId="0" fontId="8" fillId="3" borderId="2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left" indent="3"/>
    </xf>
    <xf numFmtId="0" fontId="6" fillId="4" borderId="14" xfId="0" applyFont="1" applyFill="1" applyBorder="1" applyAlignment="1">
      <alignment horizontal="left" indent="3"/>
    </xf>
    <xf numFmtId="0" fontId="6" fillId="4" borderId="10" xfId="0" applyFont="1" applyFill="1" applyBorder="1" applyAlignment="1">
      <alignment horizontal="left" indent="3"/>
    </xf>
    <xf numFmtId="0" fontId="6" fillId="4" borderId="15" xfId="0" applyFont="1" applyFill="1" applyBorder="1" applyAlignment="1">
      <alignment horizontal="left" indent="3"/>
    </xf>
    <xf numFmtId="0" fontId="6" fillId="4" borderId="12" xfId="0" applyFont="1" applyFill="1" applyBorder="1" applyAlignment="1">
      <alignment horizontal="left" indent="3"/>
    </xf>
    <xf numFmtId="0" fontId="6" fillId="4" borderId="16" xfId="0" applyFont="1" applyFill="1" applyBorder="1" applyAlignment="1">
      <alignment horizontal="left" indent="3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indent="3"/>
    </xf>
    <xf numFmtId="0" fontId="6" fillId="0" borderId="14" xfId="0" applyFont="1" applyBorder="1" applyAlignment="1">
      <alignment horizontal="left" indent="3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D0-4614-879C-FA7D97798C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D0-4614-879C-FA7D97798C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D0-4614-879C-FA7D97798C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D0-4614-879C-FA7D97798C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D0-4614-879C-FA7D97798C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D0-4614-879C-FA7D97798C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INVESTIMENTOS'!$B$34:$B$39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'SIMULADOR INVESTIMENTOS'!$C$34:$C$39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8-498C-82C9-70C1471EA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microsoft.com/office/2017/06/relationships/model3d" Target="../media/model3d1.glb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297180</xdr:colOff>
      <xdr:row>0</xdr:row>
      <xdr:rowOff>167640</xdr:rowOff>
    </xdr:from>
    <xdr:to>
      <xdr:col>4</xdr:col>
      <xdr:colOff>0</xdr:colOff>
      <xdr:row>6</xdr:row>
      <xdr:rowOff>7620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C6AFDDA-EF3A-4FA2-9864-A2A106CA6634}"/>
            </a:ext>
          </a:extLst>
        </xdr:cNvPr>
        <xdr:cNvSpPr/>
      </xdr:nvSpPr>
      <xdr:spPr>
        <a:xfrm>
          <a:off x="297180" y="167640"/>
          <a:ext cx="5715000" cy="93726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150316</xdr:colOff>
      <xdr:row>1</xdr:row>
      <xdr:rowOff>5552</xdr:rowOff>
    </xdr:from>
    <xdr:to>
      <xdr:col>1</xdr:col>
      <xdr:colOff>1106514</xdr:colOff>
      <xdr:row>5</xdr:row>
      <xdr:rowOff>173541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Modelo 3D 1" descr="Cúbico de Corpo Centrado">
              <a:extLst>
                <a:ext uri="{FF2B5EF4-FFF2-40B4-BE49-F238E27FC236}">
                  <a16:creationId xmlns:a16="http://schemas.microsoft.com/office/drawing/2014/main" id="{84CF9149-7E23-4C97-AEA2-AE9E67F6BD12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956198" cy="899509"/>
                  </a:xfrm>
                  <a:prstGeom prst="rect">
                    <a:avLst/>
                  </a:prstGeom>
                </am3d:spPr>
                <am3d:camera>
                  <am3d:pos x="0" y="0" z="81336233"/>
                  <am3d:up dx="0" dy="36000000" dz="0"/>
                  <am3d:lookAt x="0" y="0" z="0"/>
                  <am3d:perspective fov="2700000"/>
                </am3d:camera>
                <am3d:trans>
                  <am3d:meterPerModelUnit n="10313" d="1000000"/>
                  <am3d:preTrans dx="-78" dy="0" dz="6688"/>
                  <am3d:scale>
                    <am3d:sx n="1000000" d="1000000"/>
                    <am3d:sy n="1000000" d="1000000"/>
                    <am3d:sz n="1000000" d="1000000"/>
                  </am3d:scale>
                  <am3d:rot ax="-4884835" ay="508120" az="8142785"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956320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Modelo 3D 1" descr="Cúbico de Corpo Centrado">
              <a:extLst>
                <a:ext uri="{FF2B5EF4-FFF2-40B4-BE49-F238E27FC236}">
                  <a16:creationId xmlns:a16="http://schemas.microsoft.com/office/drawing/2014/main" id="{84CF9149-7E23-4C97-AEA2-AE9E67F6BD12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3696" y="188432"/>
              <a:ext cx="956198" cy="899509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1303020</xdr:colOff>
      <xdr:row>1</xdr:row>
      <xdr:rowOff>114300</xdr:rowOff>
    </xdr:from>
    <xdr:to>
      <xdr:col>3</xdr:col>
      <xdr:colOff>1577340</xdr:colOff>
      <xdr:row>5</xdr:row>
      <xdr:rowOff>22860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A3F0014-15A5-4655-ABF4-B1F2215CB107}"/>
            </a:ext>
          </a:extLst>
        </xdr:cNvPr>
        <xdr:cNvSpPr txBox="1"/>
      </xdr:nvSpPr>
      <xdr:spPr>
        <a:xfrm>
          <a:off x="1676400" y="297180"/>
          <a:ext cx="3962400" cy="6400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4400">
              <a:solidFill>
                <a:schemeClr val="bg1"/>
              </a:solidFill>
              <a:latin typeface="Berlin Sans FB Demi" panose="020E0802020502020306" pitchFamily="34" charset="0"/>
            </a:rPr>
            <a:t>CUBO INVEST</a:t>
          </a:r>
        </a:p>
      </xdr:txBody>
    </xdr:sp>
    <xdr:clientData/>
  </xdr:twoCellAnchor>
  <xdr:twoCellAnchor>
    <xdr:from>
      <xdr:col>1</xdr:col>
      <xdr:colOff>179070</xdr:colOff>
      <xdr:row>41</xdr:row>
      <xdr:rowOff>3810</xdr:rowOff>
    </xdr:from>
    <xdr:to>
      <xdr:col>3</xdr:col>
      <xdr:colOff>918210</xdr:colOff>
      <xdr:row>56</xdr:row>
      <xdr:rowOff>3810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E9736EA-543C-4D13-B49E-2B47F6CE1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556260</xdr:colOff>
      <xdr:row>7</xdr:row>
      <xdr:rowOff>99060</xdr:rowOff>
    </xdr:from>
    <xdr:to>
      <xdr:col>8</xdr:col>
      <xdr:colOff>593024</xdr:colOff>
      <xdr:row>25</xdr:row>
      <xdr:rowOff>111538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07718C-3EE7-46F3-A446-AA6F095AE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4120" y="1379220"/>
          <a:ext cx="2170364" cy="3304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B818-EFC4-4828-8957-ADE07DB9E7F1}">
  <dimension ref="A8:G40"/>
  <sheetViews>
    <sheetView showGridLines="0" tabSelected="1" topLeftCell="A19" workbookViewId="0">
      <selection activeCell="F1" sqref="F1:F1048576"/>
    </sheetView>
  </sheetViews>
  <sheetFormatPr defaultColWidth="0" defaultRowHeight="14.4" x14ac:dyDescent="0.3"/>
  <cols>
    <col min="1" max="1" width="5.44140625" customWidth="1"/>
    <col min="2" max="2" width="33.88671875" customWidth="1"/>
    <col min="3" max="3" width="22" customWidth="1"/>
    <col min="4" max="4" width="26.33203125" customWidth="1"/>
    <col min="5" max="5" width="12.33203125" customWidth="1"/>
    <col min="8" max="16384" width="8.88671875" hidden="1"/>
  </cols>
  <sheetData>
    <row r="8" spans="2:4" ht="15" thickBot="1" x14ac:dyDescent="0.35"/>
    <row r="9" spans="2:4" ht="29.4" customHeight="1" x14ac:dyDescent="0.3">
      <c r="B9" s="44" t="s">
        <v>33</v>
      </c>
      <c r="C9" s="45"/>
      <c r="D9" s="46"/>
    </row>
    <row r="10" spans="2:4" ht="23.4" customHeight="1" thickBot="1" x14ac:dyDescent="0.35">
      <c r="B10" s="47" t="s">
        <v>13</v>
      </c>
      <c r="C10" s="48"/>
      <c r="D10" s="6">
        <v>8000</v>
      </c>
    </row>
    <row r="11" spans="2:4" ht="16.2" thickBot="1" x14ac:dyDescent="0.35">
      <c r="B11" s="49" t="s">
        <v>14</v>
      </c>
      <c r="C11" s="50"/>
      <c r="D11" s="7">
        <v>6.0000000000000001E-3</v>
      </c>
    </row>
    <row r="12" spans="2:4" ht="16.2" thickBot="1" x14ac:dyDescent="0.35">
      <c r="B12" s="51" t="s">
        <v>15</v>
      </c>
      <c r="C12" s="52"/>
      <c r="D12" s="22">
        <f>D10*30%</f>
        <v>2400</v>
      </c>
    </row>
    <row r="13" spans="2:4" ht="15" thickBot="1" x14ac:dyDescent="0.35"/>
    <row r="14" spans="2:4" ht="35.4" customHeight="1" x14ac:dyDescent="0.3">
      <c r="B14" s="53" t="s">
        <v>5</v>
      </c>
      <c r="C14" s="54"/>
      <c r="D14" s="55"/>
    </row>
    <row r="15" spans="2:4" ht="16.2" thickBot="1" x14ac:dyDescent="0.35">
      <c r="B15" s="56" t="s">
        <v>0</v>
      </c>
      <c r="C15" s="57"/>
      <c r="D15" s="8">
        <v>2400</v>
      </c>
    </row>
    <row r="16" spans="2:4" ht="16.2" thickBot="1" x14ac:dyDescent="0.35">
      <c r="B16" s="38" t="s">
        <v>1</v>
      </c>
      <c r="C16" s="39"/>
      <c r="D16" s="9">
        <v>5</v>
      </c>
    </row>
    <row r="17" spans="1:5" ht="16.2" thickBot="1" x14ac:dyDescent="0.35">
      <c r="B17" s="38" t="s">
        <v>2</v>
      </c>
      <c r="C17" s="39"/>
      <c r="D17" s="10">
        <v>1.0789999999999999E-2</v>
      </c>
    </row>
    <row r="18" spans="1:5" ht="16.2" thickBot="1" x14ac:dyDescent="0.35">
      <c r="B18" s="40" t="s">
        <v>3</v>
      </c>
      <c r="C18" s="41"/>
      <c r="D18" s="11">
        <f>FV(taxa_mensal,qdt_anos*12,aporte*-1)</f>
        <v>201064.59359637034</v>
      </c>
      <c r="E18" s="1"/>
    </row>
    <row r="19" spans="1:5" ht="16.2" thickBot="1" x14ac:dyDescent="0.35">
      <c r="B19" s="42" t="s">
        <v>4</v>
      </c>
      <c r="C19" s="43"/>
      <c r="D19" s="12">
        <f>patrimonio*rendimento_carteira</f>
        <v>1206.3875615782219</v>
      </c>
    </row>
    <row r="20" spans="1:5" ht="15" thickBot="1" x14ac:dyDescent="0.35"/>
    <row r="21" spans="1:5" ht="31.8" customHeight="1" x14ac:dyDescent="0.3">
      <c r="B21" s="3" t="s">
        <v>10</v>
      </c>
      <c r="C21" s="4"/>
      <c r="D21" s="5" t="s">
        <v>12</v>
      </c>
    </row>
    <row r="22" spans="1:5" ht="16.2" thickBot="1" x14ac:dyDescent="0.35">
      <c r="A22" s="2">
        <v>2</v>
      </c>
      <c r="B22" s="13" t="s">
        <v>6</v>
      </c>
      <c r="C22" s="14">
        <f>FV($D$17,$A22*12,$D$15*-1)</f>
        <v>65346.305514348518</v>
      </c>
      <c r="D22" s="19">
        <f>C22*rendimento_carteira</f>
        <v>392.07783308609112</v>
      </c>
    </row>
    <row r="23" spans="1:5" ht="16.2" thickBot="1" x14ac:dyDescent="0.35">
      <c r="A23" s="2">
        <v>5</v>
      </c>
      <c r="B23" s="15" t="s">
        <v>7</v>
      </c>
      <c r="C23" s="16">
        <f>FV($D$17,$A23*12,$D$15*-1)</f>
        <v>201064.59359637034</v>
      </c>
      <c r="D23" s="20">
        <f>C23*rendimento_carteira</f>
        <v>1206.3875615782219</v>
      </c>
    </row>
    <row r="24" spans="1:5" ht="16.2" thickBot="1" x14ac:dyDescent="0.35">
      <c r="A24" s="2">
        <v>10</v>
      </c>
      <c r="B24" s="15" t="s">
        <v>8</v>
      </c>
      <c r="C24" s="16">
        <f>FV($D$17,$A24*12,$D$15*-1)</f>
        <v>583882.11007241323</v>
      </c>
      <c r="D24" s="20">
        <f>C24*rendimento_carteira</f>
        <v>3503.2926604344793</v>
      </c>
    </row>
    <row r="25" spans="1:5" ht="16.2" thickBot="1" x14ac:dyDescent="0.35">
      <c r="A25" s="2">
        <v>20</v>
      </c>
      <c r="B25" s="15" t="s">
        <v>9</v>
      </c>
      <c r="C25" s="16">
        <f>FV($D$17,$A25*12,$D$15*-1)</f>
        <v>2700476.1602329933</v>
      </c>
      <c r="D25" s="20">
        <f>C25*rendimento_carteira</f>
        <v>16202.85696139796</v>
      </c>
    </row>
    <row r="26" spans="1:5" ht="16.2" thickBot="1" x14ac:dyDescent="0.35">
      <c r="A26" s="2">
        <v>30</v>
      </c>
      <c r="B26" s="17" t="s">
        <v>11</v>
      </c>
      <c r="C26" s="18">
        <f>FV($D$17,$A26*12,$D$15*-1)</f>
        <v>10373207.172011314</v>
      </c>
      <c r="D26" s="21">
        <f>C26*rendimento_carteira</f>
        <v>62239.243032067883</v>
      </c>
    </row>
    <row r="30" spans="1:5" x14ac:dyDescent="0.3">
      <c r="B30" s="23" t="s">
        <v>16</v>
      </c>
      <c r="C30" s="23"/>
      <c r="D30" s="37" t="s">
        <v>17</v>
      </c>
    </row>
    <row r="31" spans="1:5" x14ac:dyDescent="0.3">
      <c r="B31" s="35" t="s">
        <v>18</v>
      </c>
      <c r="C31" s="35"/>
      <c r="D31" s="36">
        <f>aporte</f>
        <v>2400</v>
      </c>
    </row>
    <row r="33" spans="2:4" x14ac:dyDescent="0.3">
      <c r="B33" s="27" t="s">
        <v>19</v>
      </c>
      <c r="C33" s="27" t="s">
        <v>20</v>
      </c>
      <c r="D33" s="27" t="s">
        <v>21</v>
      </c>
    </row>
    <row r="34" spans="2:4" x14ac:dyDescent="0.3">
      <c r="B34" t="s">
        <v>22</v>
      </c>
      <c r="C34" s="25">
        <f>VLOOKUP($D$30&amp;"-"&amp;B34,ELEMENTOS!$B$4:$E$22,4,FALSE)</f>
        <v>0.5</v>
      </c>
      <c r="D34" s="24">
        <f>C34*$D$31</f>
        <v>1200</v>
      </c>
    </row>
    <row r="35" spans="2:4" x14ac:dyDescent="0.3">
      <c r="B35" t="s">
        <v>23</v>
      </c>
      <c r="C35" s="25">
        <f>VLOOKUP($D$30&amp;"-"&amp;B35,ELEMENTOS!$B$4:$E$22,4,FALSE)</f>
        <v>0.1</v>
      </c>
      <c r="D35" s="24">
        <f t="shared" ref="D35:D39" si="0">C35*$D$31</f>
        <v>240</v>
      </c>
    </row>
    <row r="36" spans="2:4" x14ac:dyDescent="0.3">
      <c r="B36" t="s">
        <v>24</v>
      </c>
      <c r="C36" s="25">
        <f>VLOOKUP($D$30&amp;"-"&amp;B36,ELEMENTOS!$B$4:$E$22,4,FALSE)</f>
        <v>0.05</v>
      </c>
      <c r="D36" s="24">
        <f t="shared" si="0"/>
        <v>120</v>
      </c>
    </row>
    <row r="37" spans="2:4" x14ac:dyDescent="0.3">
      <c r="B37" t="s">
        <v>25</v>
      </c>
      <c r="C37" s="25">
        <f>VLOOKUP($D$30&amp;"-"&amp;B37,ELEMENTOS!$B$4:$E$22,4,FALSE)</f>
        <v>0.05</v>
      </c>
      <c r="D37" s="24">
        <f t="shared" si="0"/>
        <v>120</v>
      </c>
    </row>
    <row r="38" spans="2:4" x14ac:dyDescent="0.3">
      <c r="B38" t="s">
        <v>26</v>
      </c>
      <c r="C38" s="25">
        <f>VLOOKUP($D$30&amp;"-"&amp;B38,ELEMENTOS!$B$4:$E$22,4,FALSE)</f>
        <v>0.2</v>
      </c>
      <c r="D38" s="24">
        <f t="shared" si="0"/>
        <v>480</v>
      </c>
    </row>
    <row r="39" spans="2:4" x14ac:dyDescent="0.3">
      <c r="B39" t="s">
        <v>27</v>
      </c>
      <c r="C39" s="25">
        <f>VLOOKUP($D$30&amp;"-"&amp;B39,ELEMENTOS!$B$4:$E$22,4,FALSE)</f>
        <v>0.1</v>
      </c>
      <c r="D39" s="24">
        <f t="shared" si="0"/>
        <v>240</v>
      </c>
    </row>
    <row r="40" spans="2:4" x14ac:dyDescent="0.3">
      <c r="B40" s="26"/>
      <c r="C40" s="26"/>
      <c r="D40" s="28">
        <f>SUM(D34:D39)</f>
        <v>2400</v>
      </c>
    </row>
  </sheetData>
  <mergeCells count="10">
    <mergeCell ref="B16:C16"/>
    <mergeCell ref="B17:C17"/>
    <mergeCell ref="B18:C18"/>
    <mergeCell ref="B19:C19"/>
    <mergeCell ref="B9:D9"/>
    <mergeCell ref="B10:C10"/>
    <mergeCell ref="B11:C11"/>
    <mergeCell ref="B12:C12"/>
    <mergeCell ref="B14:D14"/>
    <mergeCell ref="B15:C15"/>
  </mergeCells>
  <dataValidations count="1">
    <dataValidation type="list" allowBlank="1" showInputMessage="1" showErrorMessage="1" sqref="D30" xr:uid="{3073E5C9-E24D-4F5B-ACDA-F784C30D56A6}">
      <formula1>"Conservador,Moderado,Agressivo"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CAEF-6534-42BD-BBBB-2EE13D6C1488}">
  <dimension ref="A4:I22"/>
  <sheetViews>
    <sheetView workbookViewId="0">
      <selection activeCell="E4" sqref="E4"/>
    </sheetView>
  </sheetViews>
  <sheetFormatPr defaultRowHeight="14.4" x14ac:dyDescent="0.3"/>
  <cols>
    <col min="2" max="2" width="29.21875" bestFit="1" customWidth="1"/>
    <col min="3" max="3" width="11.33203125" bestFit="1" customWidth="1"/>
    <col min="4" max="4" width="18" bestFit="1" customWidth="1"/>
    <col min="5" max="5" width="7.33203125" customWidth="1"/>
    <col min="8" max="8" width="22.21875" customWidth="1"/>
    <col min="9" max="9" width="18" customWidth="1"/>
  </cols>
  <sheetData>
    <row r="4" spans="1:9" x14ac:dyDescent="0.3">
      <c r="B4" t="s">
        <v>30</v>
      </c>
      <c r="C4" t="s">
        <v>16</v>
      </c>
      <c r="D4" t="s">
        <v>19</v>
      </c>
      <c r="E4" t="s">
        <v>29</v>
      </c>
    </row>
    <row r="5" spans="1:9" x14ac:dyDescent="0.3">
      <c r="B5" t="str">
        <f>$C$5&amp;"-"&amp;D5</f>
        <v>Conservador-PAPEL</v>
      </c>
      <c r="C5" t="s">
        <v>28</v>
      </c>
      <c r="D5" t="s">
        <v>22</v>
      </c>
      <c r="E5" s="25">
        <v>0.3</v>
      </c>
      <c r="H5" s="33" t="s">
        <v>32</v>
      </c>
      <c r="I5" s="34">
        <f>VLOOKUP(H5,B5:E22,4,FALSE)</f>
        <v>0.32</v>
      </c>
    </row>
    <row r="6" spans="1:9" x14ac:dyDescent="0.3">
      <c r="B6" t="str">
        <f t="shared" ref="B6:B10" si="0">$C$5&amp;"-"&amp;D6</f>
        <v>Conservador-TIJOLO</v>
      </c>
      <c r="C6" t="s">
        <v>28</v>
      </c>
      <c r="D6" t="s">
        <v>23</v>
      </c>
      <c r="E6" s="25">
        <v>0.5</v>
      </c>
    </row>
    <row r="7" spans="1:9" x14ac:dyDescent="0.3">
      <c r="B7" t="str">
        <f t="shared" si="0"/>
        <v>Conservador-HÍBRIDO</v>
      </c>
      <c r="C7" t="s">
        <v>28</v>
      </c>
      <c r="D7" t="s">
        <v>24</v>
      </c>
      <c r="E7" s="25">
        <v>0.1</v>
      </c>
    </row>
    <row r="8" spans="1:9" x14ac:dyDescent="0.3">
      <c r="B8" t="str">
        <f t="shared" si="0"/>
        <v>Conservador-FOFs</v>
      </c>
      <c r="C8" t="s">
        <v>28</v>
      </c>
      <c r="D8" t="s">
        <v>25</v>
      </c>
      <c r="E8" s="25">
        <v>0.1</v>
      </c>
    </row>
    <row r="9" spans="1:9" x14ac:dyDescent="0.3">
      <c r="B9" t="str">
        <f t="shared" si="0"/>
        <v>Conservador-DESENVOLVIMENTO</v>
      </c>
      <c r="C9" t="s">
        <v>28</v>
      </c>
      <c r="D9" t="s">
        <v>26</v>
      </c>
      <c r="E9" s="25">
        <v>0</v>
      </c>
    </row>
    <row r="10" spans="1:9" x14ac:dyDescent="0.3">
      <c r="B10" t="str">
        <f t="shared" si="0"/>
        <v>Conservador-HOTELARIA</v>
      </c>
      <c r="C10" t="s">
        <v>28</v>
      </c>
      <c r="D10" t="s">
        <v>27</v>
      </c>
      <c r="E10" s="25">
        <v>0</v>
      </c>
    </row>
    <row r="11" spans="1:9" x14ac:dyDescent="0.3">
      <c r="A11" s="29"/>
      <c r="B11" s="29" t="str">
        <f>$C$11&amp;"-"&amp;D11</f>
        <v>Moderado-PAPEL</v>
      </c>
      <c r="C11" s="29" t="s">
        <v>31</v>
      </c>
      <c r="D11" s="29" t="s">
        <v>22</v>
      </c>
      <c r="E11" s="25">
        <v>0.32</v>
      </c>
    </row>
    <row r="12" spans="1:9" x14ac:dyDescent="0.3">
      <c r="B12" t="str">
        <f t="shared" ref="B12:B16" si="1">$C$11&amp;"-"&amp;D12</f>
        <v>Moderado-TIJOLO</v>
      </c>
      <c r="C12" t="s">
        <v>31</v>
      </c>
      <c r="D12" t="s">
        <v>23</v>
      </c>
      <c r="E12" s="25">
        <v>0.35</v>
      </c>
    </row>
    <row r="13" spans="1:9" x14ac:dyDescent="0.3">
      <c r="B13" t="str">
        <f t="shared" si="1"/>
        <v>Moderado-HÍBRIDO</v>
      </c>
      <c r="C13" t="s">
        <v>31</v>
      </c>
      <c r="D13" t="s">
        <v>24</v>
      </c>
      <c r="E13" s="25">
        <v>0.08</v>
      </c>
    </row>
    <row r="14" spans="1:9" x14ac:dyDescent="0.3">
      <c r="B14" t="str">
        <f t="shared" si="1"/>
        <v>Moderado-FOFs</v>
      </c>
      <c r="C14" t="s">
        <v>31</v>
      </c>
      <c r="D14" t="s">
        <v>25</v>
      </c>
      <c r="E14" s="25">
        <v>0.05</v>
      </c>
    </row>
    <row r="15" spans="1:9" x14ac:dyDescent="0.3">
      <c r="B15" t="str">
        <f t="shared" si="1"/>
        <v>Moderado-DESENVOLVIMENTO</v>
      </c>
      <c r="C15" t="s">
        <v>31</v>
      </c>
      <c r="D15" t="s">
        <v>26</v>
      </c>
      <c r="E15" s="25">
        <v>0.1</v>
      </c>
    </row>
    <row r="16" spans="1:9" x14ac:dyDescent="0.3">
      <c r="B16" t="str">
        <f t="shared" si="1"/>
        <v>Moderado-HOTELARIA</v>
      </c>
      <c r="C16" t="s">
        <v>31</v>
      </c>
      <c r="D16" t="s">
        <v>27</v>
      </c>
      <c r="E16" s="25">
        <v>0.1</v>
      </c>
    </row>
    <row r="17" spans="1:5" x14ac:dyDescent="0.3">
      <c r="A17" s="29"/>
      <c r="B17" s="29" t="str">
        <f>$C$17&amp;"-"&amp;D17</f>
        <v>Agressivo-PAPEL</v>
      </c>
      <c r="C17" s="29" t="s">
        <v>17</v>
      </c>
      <c r="D17" s="29" t="s">
        <v>22</v>
      </c>
      <c r="E17" s="31">
        <v>0.5</v>
      </c>
    </row>
    <row r="18" spans="1:5" x14ac:dyDescent="0.3">
      <c r="A18" s="30"/>
      <c r="B18" s="30" t="str">
        <f t="shared" ref="B18:B22" si="2">$C$17&amp;"-"&amp;D18</f>
        <v>Agressivo-TIJOLO</v>
      </c>
      <c r="C18" s="30" t="s">
        <v>17</v>
      </c>
      <c r="D18" s="30" t="s">
        <v>23</v>
      </c>
      <c r="E18" s="31">
        <v>0.1</v>
      </c>
    </row>
    <row r="19" spans="1:5" x14ac:dyDescent="0.3">
      <c r="B19" t="str">
        <f t="shared" si="2"/>
        <v>Agressivo-HÍBRIDO</v>
      </c>
      <c r="C19" t="s">
        <v>17</v>
      </c>
      <c r="D19" t="s">
        <v>24</v>
      </c>
      <c r="E19" s="32">
        <v>0.05</v>
      </c>
    </row>
    <row r="20" spans="1:5" x14ac:dyDescent="0.3">
      <c r="B20" t="str">
        <f t="shared" si="2"/>
        <v>Agressivo-FOFs</v>
      </c>
      <c r="C20" t="s">
        <v>17</v>
      </c>
      <c r="D20" t="s">
        <v>25</v>
      </c>
      <c r="E20" s="32">
        <v>0.05</v>
      </c>
    </row>
    <row r="21" spans="1:5" x14ac:dyDescent="0.3">
      <c r="B21" t="str">
        <f t="shared" si="2"/>
        <v>Agressivo-DESENVOLVIMENTO</v>
      </c>
      <c r="C21" t="s">
        <v>17</v>
      </c>
      <c r="D21" t="s">
        <v>26</v>
      </c>
      <c r="E21" s="32">
        <v>0.2</v>
      </c>
    </row>
    <row r="22" spans="1:5" x14ac:dyDescent="0.3">
      <c r="B22" t="str">
        <f t="shared" si="2"/>
        <v>Agressivo-HOTELARIA</v>
      </c>
      <c r="C22" t="s">
        <v>17</v>
      </c>
      <c r="D22" t="s">
        <v>27</v>
      </c>
      <c r="E22" s="32">
        <v>0.1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 INVESTIMENTOS</vt:lpstr>
      <vt:lpstr>ELEMENTOS</vt:lpstr>
      <vt:lpstr>aporte</vt:lpstr>
      <vt:lpstr>patrimonio</vt:lpstr>
      <vt:lpstr>qdt_anos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DERIVALDO GOMES</dc:creator>
  <cp:lastModifiedBy>DERIVALDO GOMES</cp:lastModifiedBy>
  <dcterms:created xsi:type="dcterms:W3CDTF">2026-01-15T16:05:36Z</dcterms:created>
  <dcterms:modified xsi:type="dcterms:W3CDTF">2026-01-27T19:09:25Z</dcterms:modified>
</cp:coreProperties>
</file>